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ato B" sheetId="1" state="visible" r:id="rId3"/>
    <sheet name="Hoja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<sst xmlns="http://schemas.openxmlformats.org/spreadsheetml/2006/main" count="127" uniqueCount="111">
  <si>
    <t xml:space="preserve">Análisis de Crédito (Inciso B)</t>
  </si>
  <si>
    <t xml:space="preserve">Comprobación de datos generales.</t>
  </si>
  <si>
    <t xml:space="preserve">Nombre:</t>
  </si>
  <si>
    <t xml:space="preserve">Socio:</t>
  </si>
  <si>
    <t xml:space="preserve">Teléfono:</t>
  </si>
  <si>
    <t xml:space="preserve">Fecha de Nacimiento:</t>
  </si>
  <si>
    <t xml:space="preserve">Edad (Años):</t>
  </si>
  <si>
    <t xml:space="preserve">Domicilio</t>
  </si>
  <si>
    <t xml:space="preserve">Calle</t>
  </si>
  <si>
    <t xml:space="preserve">Número</t>
  </si>
  <si>
    <t xml:space="preserve">C.P.</t>
  </si>
  <si>
    <t xml:space="preserve">Colonia</t>
  </si>
  <si>
    <t xml:space="preserve">Municipio</t>
  </si>
  <si>
    <t xml:space="preserve">Estado Civil</t>
  </si>
  <si>
    <t xml:space="preserve">Vive en casa:</t>
  </si>
  <si>
    <t xml:space="preserve">Verificación trabajo:</t>
  </si>
  <si>
    <t xml:space="preserve">Acreditamiento de capacidad de pago:</t>
  </si>
  <si>
    <t xml:space="preserve">Si el pago mensual del préstamo no excede el 50% del ingreso neto del Socio y/o de su cónyuge/concubino. Se entenderá como ingreso neto el resultante de la resta de los compromisos y deudas mensuales adicionales con las que cuenta el socio al momento de realizar el análisis.  También se consideran los descuentos de nómina en caso que el socio así lo reporte.</t>
  </si>
  <si>
    <t xml:space="preserve">Determinación de pago mensual</t>
  </si>
  <si>
    <t xml:space="preserve">Datos del crédito solicitado</t>
  </si>
  <si>
    <t xml:space="preserve">Importe de mensualidad del crédito</t>
  </si>
  <si>
    <t xml:space="preserve">Producto</t>
  </si>
  <si>
    <t xml:space="preserve">Monto del Préstamo</t>
  </si>
  <si>
    <t xml:space="preserve">Plazo (Meses)</t>
  </si>
  <si>
    <t xml:space="preserve">Tasa (Mensual)</t>
  </si>
  <si>
    <t xml:space="preserve">Ingresos</t>
  </si>
  <si>
    <t xml:space="preserve">Ingreso declarado</t>
  </si>
  <si>
    <t xml:space="preserve">Validación de Ingreso Declarado</t>
  </si>
  <si>
    <t xml:space="preserve">Determinación de los flujos de efectivo</t>
  </si>
  <si>
    <t xml:space="preserve">Flujos de Ahorro (último año)</t>
  </si>
  <si>
    <t xml:space="preserve">Importe de flujos de efectivo mensuales acreditatos </t>
  </si>
  <si>
    <t xml:space="preserve">Enero</t>
  </si>
  <si>
    <t xml:space="preserve">Julio</t>
  </si>
  <si>
    <t xml:space="preserve">Promedio de flujo de pagos </t>
  </si>
  <si>
    <t xml:space="preserve">Febrero</t>
  </si>
  <si>
    <t xml:space="preserve">Agosto</t>
  </si>
  <si>
    <t xml:space="preserve">Promedio de flujo de ahorros</t>
  </si>
  <si>
    <t xml:space="preserve">Marzo</t>
  </si>
  <si>
    <t xml:space="preserve">Septiembre</t>
  </si>
  <si>
    <t xml:space="preserve">Total</t>
  </si>
  <si>
    <t xml:space="preserve">Abril</t>
  </si>
  <si>
    <t xml:space="preserve">Octubre</t>
  </si>
  <si>
    <t xml:space="preserve">Mayo</t>
  </si>
  <si>
    <t xml:space="preserve">Noviembre</t>
  </si>
  <si>
    <t xml:space="preserve">Junio</t>
  </si>
  <si>
    <t xml:space="preserve">Diciembre</t>
  </si>
  <si>
    <t xml:space="preserve">Promedio</t>
  </si>
  <si>
    <t xml:space="preserve">Flujo de efectivo acreditado con los pagos</t>
  </si>
  <si>
    <t xml:space="preserve">Periodo considerado</t>
  </si>
  <si>
    <t xml:space="preserve">Enero 2025 a enero 2026</t>
  </si>
  <si>
    <t xml:space="preserve">Validación conforme al indicador de Ahorro Bruto publicado por el Instituto Nacional de Estadística y Geografía (INEGI) </t>
  </si>
  <si>
    <t xml:space="preserve">Importe decalarado</t>
  </si>
  <si>
    <t xml:space="preserve">Estimación de Ingresos</t>
  </si>
  <si>
    <t xml:space="preserve">Ingreso a Considerar</t>
  </si>
  <si>
    <t xml:space="preserve">Indicador INEGI</t>
  </si>
  <si>
    <t xml:space="preserve">Ingreso estimado</t>
  </si>
  <si>
    <t xml:space="preserve">Concentrado de Gastos Mensuales</t>
  </si>
  <si>
    <t xml:space="preserve">Alimentos</t>
  </si>
  <si>
    <t xml:space="preserve">Escuela</t>
  </si>
  <si>
    <t xml:space="preserve">Renta</t>
  </si>
  <si>
    <t xml:space="preserve">Luz</t>
  </si>
  <si>
    <t xml:space="preserve">Uniformes Esc.</t>
  </si>
  <si>
    <t xml:space="preserve">Mueblerías</t>
  </si>
  <si>
    <t xml:space="preserve">Agua</t>
  </si>
  <si>
    <t xml:space="preserve">Utiles Esc.</t>
  </si>
  <si>
    <t xml:space="preserve">Pago de casa</t>
  </si>
  <si>
    <t xml:space="preserve">Teléfono</t>
  </si>
  <si>
    <t xml:space="preserve">Ropa</t>
  </si>
  <si>
    <t xml:space="preserve">Pago de auto</t>
  </si>
  <si>
    <t xml:space="preserve">Gas</t>
  </si>
  <si>
    <t xml:space="preserve">Zapatos</t>
  </si>
  <si>
    <t xml:space="preserve">Tarjeta de crédito</t>
  </si>
  <si>
    <t xml:space="preserve">Transporte</t>
  </si>
  <si>
    <t xml:space="preserve">Medicinas</t>
  </si>
  <si>
    <t xml:space="preserve">Pagos en Buró</t>
  </si>
  <si>
    <t xml:space="preserve">Gasolina</t>
  </si>
  <si>
    <t xml:space="preserve">Diversión</t>
  </si>
  <si>
    <t xml:space="preserve">Otros</t>
  </si>
  <si>
    <t xml:space="preserve">Suma de Gastos</t>
  </si>
  <si>
    <t xml:space="preserve">Flujo de efectivo neto</t>
  </si>
  <si>
    <t xml:space="preserve">Importe de mensualidad de créditos en Caja Fama que no se considera liquidar</t>
  </si>
  <si>
    <t xml:space="preserve">Efectivo disponible para pago de crédito solicitado</t>
  </si>
  <si>
    <t xml:space="preserve">Resolución</t>
  </si>
  <si>
    <t xml:space="preserve">Porcentaje que representa la mensualidad del crédito a contratar sobre el efectivo disponible.</t>
  </si>
  <si>
    <t xml:space="preserve">Cuenta el socio con efectivo necesario para el pago del préstamo?</t>
  </si>
  <si>
    <t xml:space="preserve">Nombre</t>
  </si>
  <si>
    <t xml:space="preserve">Tasa Ordinaria</t>
  </si>
  <si>
    <t xml:space="preserve">Tasa Moratoria</t>
  </si>
  <si>
    <t xml:space="preserve">Préstamo Ordinario</t>
  </si>
  <si>
    <t xml:space="preserve">Gerencial</t>
  </si>
  <si>
    <t xml:space="preserve">Confianza</t>
  </si>
  <si>
    <t xml:space="preserve">Escolar</t>
  </si>
  <si>
    <t xml:space="preserve">Presta Rápido</t>
  </si>
  <si>
    <t xml:space="preserve">Hipotecario</t>
  </si>
  <si>
    <t xml:space="preserve">Sobre certificados</t>
  </si>
  <si>
    <t xml:space="preserve">Credi Seguro</t>
  </si>
  <si>
    <t xml:space="preserve">Credi Auto</t>
  </si>
  <si>
    <t xml:space="preserve">Credi Auto 2</t>
  </si>
  <si>
    <t xml:space="preserve">Línea Exclusiva</t>
  </si>
  <si>
    <t xml:space="preserve">Confianza Renovado</t>
  </si>
  <si>
    <t xml:space="preserve">Gerencial Renovado</t>
  </si>
  <si>
    <t xml:space="preserve">Hipotecario Renovado</t>
  </si>
  <si>
    <t xml:space="preserve">Ordinario Renovado</t>
  </si>
  <si>
    <t xml:space="preserve">Sobre Certificados Renovado</t>
  </si>
  <si>
    <t xml:space="preserve">30302 (2)</t>
  </si>
  <si>
    <t xml:space="preserve">Gerencial 120</t>
  </si>
  <si>
    <t xml:space="preserve">30303 (2)</t>
  </si>
  <si>
    <t xml:space="preserve">Gerencial 120 Renovado</t>
  </si>
  <si>
    <t xml:space="preserve">Respuestas</t>
  </si>
  <si>
    <t xml:space="preserve">Sí</t>
  </si>
  <si>
    <t xml:space="preserve">No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</si>
</sst>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-F800]dddd&quot;, &quot;mmmm\ dd&quot;, &quot;yyyy"/>
    <numFmt numFmtId="166" formatCode="dd/mm/yyyy"/>
    <numFmt numFmtId="167" formatCode="0"/>
    <numFmt numFmtId="168" formatCode="_-\$* #,##0.00_-;&quot;-$&quot;* #,##0.00_-;_-\$* \-??_-;_-@_-"/>
    <numFmt numFmtId="169" formatCode="\$#,##0.00;&quot;-$&quot;#,##0.00"/>
    <numFmt numFmtId="170" formatCode="\$#,##0.00;[RED]&quot;-$&quot;#,##0.00"/>
    <numFmt numFmtId="171" formatCode="0%"/>
    <numFmt numFmtId="172" formatCode="0.00%"/>
    <numFmt numFmtId="173" formatCode="#,##0.00"/>
  </numFmts>
  <fonts count="1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 Narrow"/>
      <family val="2"/>
      <charset val="1"/>
    </font>
    <font>
      <sz val="11"/>
      <color theme="1"/>
      <name val="Arial Narrow"/>
      <family val="2"/>
      <charset val="1"/>
    </font>
    <font>
      <b val="true"/>
      <sz val="11"/>
      <color theme="0"/>
      <name val="Arial Narrow"/>
      <family val="2"/>
      <charset val="1"/>
    </font>
    <font>
      <b val="true"/>
      <sz val="11"/>
      <color theme="1"/>
      <name val="Arial Narrow"/>
      <family val="2"/>
      <charset val="1"/>
    </font>
    <font>
      <b val="true"/>
      <sz val="20"/>
      <color theme="1"/>
      <name val="Arial Narrow"/>
      <family val="2"/>
      <charset val="1"/>
    </font>
    <font>
      <b val="true"/>
      <sz val="12"/>
      <color theme="1"/>
      <name val="Arial Narrow"/>
      <family val="2"/>
      <charset val="1"/>
    </font>
    <font>
      <b val="true"/>
      <sz val="16"/>
      <color theme="1"/>
      <name val="Arial Narrow"/>
      <family val="2"/>
      <charset val="1"/>
    </font>
    <font>
      <sz val="12"/>
      <color theme="1"/>
      <name val="Arial Narrow"/>
      <family val="2"/>
      <charset val="1"/>
    </font>
    <font>
      <sz val="11"/>
      <name val="Arial Narrow"/>
      <family val="2"/>
      <charset val="1"/>
    </font>
    <font>
      <b val="true"/>
      <sz val="16"/>
      <color theme="0"/>
      <name val="Arial Narrow"/>
      <family val="2"/>
      <charset val="1"/>
    </font>
    <font>
      <b val="true"/>
      <sz val="11"/>
      <name val="Arial Narrow"/>
      <family val="2"/>
      <charset val="1"/>
    </font>
    <font>
      <sz val="10"/>
      <color theme="1"/>
      <name val="Arial Narrow"/>
      <family val="2"/>
      <charset val="1"/>
    </font>
    <font>
      <b val="true"/>
      <sz val="12"/>
      <color theme="0"/>
      <name val="Arial Narrow"/>
      <family val="2"/>
      <charset val="1"/>
    </font>
    <font>
      <b val="true"/>
      <sz val="22"/>
      <color theme="1"/>
      <name val="Arial Narrow"/>
      <family val="2"/>
      <charset val="1"/>
    </font>
    <font>
      <sz val="11"/>
      <color rgb="FF000000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81D41A"/>
        <bgColor rgb="FF7FD7A7"/>
      </patternFill>
    </fill>
    <fill>
      <patternFill patternType="solid">
        <fgColor rgb="FFFFFF00"/>
        <bgColor rgb="FFFFFF00"/>
      </patternFill>
    </fill>
    <fill>
      <patternFill patternType="solid">
        <fgColor theme="1" tint="0.2499"/>
        <bgColor rgb="FF33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5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5" fillId="3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5" fillId="3" borderId="1" xfId="17" applyFont="true" applyBorder="true" applyAlignment="true" applyProtection="true">
      <alignment horizontal="justify" vertical="bottom" textRotation="0" wrapText="true" indent="0" shrinkToFit="false"/>
      <protection locked="false" hidden="false"/>
    </xf>
    <xf numFmtId="169" fontId="8" fillId="3" borderId="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1" xfId="17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5" fillId="3" borderId="1" xfId="1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3" fontId="5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5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5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5" fillId="3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3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71" fontId="5" fillId="3" borderId="0" xfId="1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3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0" fillId="0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3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17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3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7FD7A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FD7A7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5760</xdr:colOff>
      <xdr:row>0</xdr:row>
      <xdr:rowOff>38160</xdr:rowOff>
    </xdr:from>
    <xdr:to>
      <xdr:col>5</xdr:col>
      <xdr:colOff>323640</xdr:colOff>
      <xdr:row>0</xdr:row>
      <xdr:rowOff>495000</xdr:rowOff>
    </xdr:to>
    <xdr:pic>
      <xdr:nvPicPr>
        <xdr:cNvPr id="1" name="1 Imagen"/>
        <xdr:cNvPicPr/>
      </xdr:nvPicPr>
      <xdr:blipFill>
        <a:blip r:embed="rId1"/>
        <a:stretch/>
      </xdr:blipFill>
      <xdr:spPr>
        <a:xfrm>
          <a:off x="3070440" y="38160"/>
          <a:ext cx="1165320" cy="456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7"/>
  <sheetViews>
    <sheetView showFormulas="false" showGridLines="true" showRowColHeaders="true" showZeros="true" rightToLeft="false" tabSelected="true" showOutlineSymbols="true" defaultGridColor="true" view="normal" topLeftCell="A37" colorId="64" zoomScale="140" zoomScaleNormal="140" zoomScalePageLayoutView="100" workbookViewId="0">
      <selection pane="topLeft" activeCell="E42" activeCellId="0" sqref="E42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0" width="10.22"/>
    <col collapsed="false" customWidth="true" hidden="false" outlineLevel="0" max="2" min="2" style="0" width="6.89"/>
  </cols>
  <sheetData>
    <row r="1" customFormat="false" ht="6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4.25" hidden="false" customHeight="false" outlineLevel="0" collapsed="false">
      <c r="A2" s="2"/>
      <c r="B2" s="3"/>
      <c r="C2" s="3"/>
      <c r="D2" s="3"/>
      <c r="E2" s="2"/>
      <c r="F2" s="4"/>
      <c r="G2" s="5"/>
      <c r="H2" s="5"/>
      <c r="I2" s="5"/>
    </row>
    <row r="3" customFormat="false" ht="14.25" hidden="false" customHeight="false" outlineLevel="0" collapsed="false">
      <c r="A3" s="6" t="s">
        <v>1</v>
      </c>
      <c r="B3" s="6"/>
      <c r="C3" s="6"/>
      <c r="D3" s="6"/>
      <c r="E3" s="6"/>
      <c r="F3" s="6"/>
      <c r="G3" s="6"/>
      <c r="H3" s="6"/>
      <c r="I3" s="6"/>
    </row>
    <row r="4" customFormat="false" ht="14.25" hidden="false" customHeight="false" outlineLevel="0" collapsed="false">
      <c r="A4" s="7" t="s">
        <v>2</v>
      </c>
      <c r="B4" s="8"/>
      <c r="C4" s="8"/>
      <c r="D4" s="8"/>
      <c r="E4" s="8"/>
      <c r="F4" s="8"/>
      <c r="G4" s="8"/>
      <c r="H4" s="9" t="s">
        <v>3</v>
      </c>
      <c r="I4" s="10"/>
    </row>
    <row r="5" customFormat="false" ht="14.25" hidden="false" customHeight="false" outlineLevel="0" collapsed="false">
      <c r="A5" s="7" t="s">
        <v>4</v>
      </c>
      <c r="B5" s="11"/>
      <c r="C5" s="11"/>
      <c r="D5" s="12"/>
      <c r="E5" s="13" t="s">
        <v>5</v>
      </c>
      <c r="F5" s="14"/>
      <c r="G5" s="14"/>
      <c r="H5" s="13" t="s">
        <v>6</v>
      </c>
      <c r="I5" s="15"/>
    </row>
    <row r="6" customFormat="false" ht="14.25" hidden="false" customHeight="false" outlineLevel="0" collapsed="false">
      <c r="A6" s="16" t="s">
        <v>7</v>
      </c>
      <c r="B6" s="16"/>
      <c r="C6" s="16"/>
      <c r="D6" s="16"/>
      <c r="E6" s="16"/>
      <c r="F6" s="16"/>
      <c r="G6" s="16"/>
      <c r="H6" s="16"/>
      <c r="I6" s="16"/>
    </row>
    <row r="7" customFormat="false" ht="14.25" hidden="false" customHeight="false" outlineLevel="0" collapsed="false">
      <c r="A7" s="7" t="s">
        <v>8</v>
      </c>
      <c r="B7" s="11"/>
      <c r="C7" s="11"/>
      <c r="D7" s="11"/>
      <c r="E7" s="13" t="s">
        <v>9</v>
      </c>
      <c r="F7" s="11"/>
      <c r="G7" s="11"/>
      <c r="H7" s="13" t="s">
        <v>10</v>
      </c>
      <c r="I7" s="17"/>
    </row>
    <row r="8" customFormat="false" ht="14.25" hidden="false" customHeight="false" outlineLevel="0" collapsed="false">
      <c r="A8" s="7" t="s">
        <v>11</v>
      </c>
      <c r="B8" s="11"/>
      <c r="C8" s="11"/>
      <c r="D8" s="11"/>
      <c r="E8" s="11"/>
      <c r="F8" s="11"/>
      <c r="G8" s="18" t="s">
        <v>12</v>
      </c>
      <c r="H8" s="11"/>
      <c r="I8" s="11"/>
    </row>
    <row r="9" customFormat="false" ht="14.25" hidden="false" customHeight="false" outlineLevel="0" collapsed="false">
      <c r="A9" s="7" t="s">
        <v>13</v>
      </c>
      <c r="B9" s="11"/>
      <c r="C9" s="11"/>
      <c r="D9" s="11"/>
      <c r="E9" s="11"/>
      <c r="F9" s="11"/>
      <c r="G9" s="7" t="s">
        <v>14</v>
      </c>
      <c r="H9" s="11"/>
      <c r="I9" s="11"/>
    </row>
    <row r="10" customFormat="false" ht="14.25" hidden="false" customHeight="false" outlineLevel="0" collapsed="false">
      <c r="A10" s="7" t="s">
        <v>15</v>
      </c>
      <c r="B10" s="19"/>
      <c r="C10" s="11"/>
      <c r="D10" s="11"/>
      <c r="E10" s="11"/>
      <c r="F10" s="11"/>
      <c r="G10" s="11"/>
      <c r="H10" s="11"/>
      <c r="I10" s="11"/>
    </row>
    <row r="11" customFormat="false" ht="14.25" hidden="false" customHeight="false" outlineLevel="0" collapsed="false">
      <c r="A11" s="19"/>
      <c r="B11" s="19"/>
      <c r="C11" s="19"/>
      <c r="D11" s="19"/>
      <c r="E11" s="19"/>
      <c r="F11" s="19"/>
      <c r="G11" s="19"/>
      <c r="H11" s="19"/>
      <c r="I11" s="19"/>
    </row>
    <row r="12" customFormat="false" ht="14.25" hidden="false" customHeight="false" outlineLevel="0" collapsed="false">
      <c r="A12" s="6" t="s">
        <v>16</v>
      </c>
      <c r="B12" s="6"/>
      <c r="C12" s="6"/>
      <c r="D12" s="6"/>
      <c r="E12" s="6"/>
      <c r="F12" s="6"/>
      <c r="G12" s="6"/>
      <c r="H12" s="6"/>
      <c r="I12" s="6"/>
    </row>
    <row r="13" customFormat="false" ht="46.5" hidden="false" customHeight="true" outlineLevel="0" collapsed="false">
      <c r="A13" s="20" t="s">
        <v>17</v>
      </c>
      <c r="B13" s="20"/>
      <c r="C13" s="20"/>
      <c r="D13" s="20"/>
      <c r="E13" s="20"/>
      <c r="F13" s="20"/>
      <c r="G13" s="20"/>
      <c r="H13" s="20"/>
      <c r="I13" s="20"/>
    </row>
    <row r="14" customFormat="false" ht="14.2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4.25" hidden="false" customHeight="true" outlineLevel="0" collapsed="false">
      <c r="A15" s="21" t="s">
        <v>18</v>
      </c>
      <c r="B15" s="21"/>
      <c r="C15" s="21"/>
      <c r="D15" s="21"/>
      <c r="E15" s="21"/>
      <c r="F15" s="21"/>
      <c r="G15" s="21"/>
      <c r="H15" s="21"/>
      <c r="I15" s="21"/>
    </row>
    <row r="16" customFormat="false" ht="14.25" hidden="false" customHeight="false" outlineLevel="0" collapsed="false">
      <c r="A16" s="22"/>
      <c r="B16" s="22"/>
      <c r="C16" s="22"/>
      <c r="D16" s="22"/>
      <c r="E16" s="22"/>
      <c r="F16" s="22"/>
      <c r="G16" s="22"/>
      <c r="H16" s="22"/>
      <c r="I16" s="22"/>
    </row>
    <row r="17" customFormat="false" ht="14.25" hidden="false" customHeight="false" outlineLevel="0" collapsed="false">
      <c r="A17" s="23" t="s">
        <v>19</v>
      </c>
      <c r="B17" s="23"/>
      <c r="C17" s="23"/>
      <c r="D17" s="23"/>
      <c r="E17" s="2"/>
      <c r="F17" s="23" t="s">
        <v>20</v>
      </c>
      <c r="G17" s="23"/>
      <c r="H17" s="23"/>
      <c r="I17" s="23"/>
    </row>
    <row r="18" customFormat="false" ht="14.25" hidden="false" customHeight="false" outlineLevel="0" collapsed="false">
      <c r="A18" s="24" t="s">
        <v>21</v>
      </c>
      <c r="B18" s="25" t="n">
        <v>30402</v>
      </c>
      <c r="C18" s="26" t="str">
        <f aca="false">VLOOKUP(B18,Hoja3!A3:D20,2,FALSE())</f>
        <v>Confianza</v>
      </c>
      <c r="D18" s="26"/>
      <c r="E18" s="2"/>
      <c r="F18" s="27" t="str">
        <f aca="false">IFERROR((C19/C20)+((C19*C21)*1.16),"")</f>
        <v/>
      </c>
      <c r="G18" s="27"/>
      <c r="H18" s="27"/>
      <c r="I18" s="27"/>
    </row>
    <row r="19" customFormat="false" ht="14.25" hidden="false" customHeight="false" outlineLevel="0" collapsed="false">
      <c r="A19" s="28" t="s">
        <v>22</v>
      </c>
      <c r="B19" s="28"/>
      <c r="C19" s="29"/>
      <c r="D19" s="29"/>
      <c r="E19" s="2"/>
      <c r="F19" s="27"/>
      <c r="G19" s="27"/>
      <c r="H19" s="27"/>
      <c r="I19" s="27"/>
    </row>
    <row r="20" customFormat="false" ht="14.25" hidden="false" customHeight="false" outlineLevel="0" collapsed="false">
      <c r="A20" s="28" t="s">
        <v>23</v>
      </c>
      <c r="B20" s="28"/>
      <c r="C20" s="30"/>
      <c r="D20" s="30"/>
      <c r="E20" s="2"/>
      <c r="F20" s="27"/>
      <c r="G20" s="27"/>
      <c r="H20" s="27"/>
      <c r="I20" s="27"/>
    </row>
    <row r="21" customFormat="false" ht="14.25" hidden="false" customHeight="false" outlineLevel="0" collapsed="false">
      <c r="A21" s="28" t="s">
        <v>24</v>
      </c>
      <c r="B21" s="28"/>
      <c r="C21" s="31" t="n">
        <f aca="false">VLOOKUP(B18,Hoja3!A3:D20,3,FALSE())</f>
        <v>0.015</v>
      </c>
      <c r="D21" s="31"/>
      <c r="E21" s="2"/>
      <c r="F21" s="27"/>
      <c r="G21" s="27"/>
      <c r="H21" s="27"/>
      <c r="I21" s="27"/>
    </row>
    <row r="22" customFormat="false" ht="14.2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4.25" hidden="false" customHeight="true" outlineLevel="0" collapsed="false">
      <c r="A23" s="21" t="s">
        <v>25</v>
      </c>
      <c r="B23" s="21"/>
      <c r="C23" s="21"/>
      <c r="D23" s="21"/>
      <c r="E23" s="21"/>
      <c r="F23" s="21"/>
      <c r="G23" s="21"/>
      <c r="H23" s="21"/>
      <c r="I23" s="21"/>
    </row>
    <row r="24" customFormat="false" ht="14.25" hidden="false" customHeight="false" outlineLevel="0" collapsed="false">
      <c r="A24" s="28" t="s">
        <v>26</v>
      </c>
      <c r="B24" s="32"/>
      <c r="C24" s="33"/>
      <c r="D24" s="33"/>
      <c r="E24" s="33"/>
      <c r="F24" s="33"/>
      <c r="G24" s="33"/>
      <c r="H24" s="33"/>
      <c r="I24" s="33"/>
    </row>
    <row r="25" customFormat="false" ht="15" hidden="false" customHeight="false" outlineLevel="0" collapsed="false">
      <c r="A25" s="34" t="s">
        <v>27</v>
      </c>
      <c r="B25" s="34"/>
      <c r="C25" s="34"/>
      <c r="D25" s="34"/>
      <c r="E25" s="34"/>
      <c r="F25" s="34"/>
      <c r="G25" s="34"/>
      <c r="H25" s="34"/>
      <c r="I25" s="34"/>
    </row>
    <row r="26" customFormat="false" ht="14.25" hidden="false" customHeight="true" outlineLevel="0" collapsed="false">
      <c r="A26" s="21" t="s">
        <v>28</v>
      </c>
      <c r="B26" s="21"/>
      <c r="C26" s="21"/>
      <c r="D26" s="21"/>
      <c r="E26" s="21"/>
      <c r="F26" s="21"/>
      <c r="G26" s="21"/>
      <c r="H26" s="21"/>
      <c r="I26" s="21"/>
    </row>
    <row r="27" customFormat="false" ht="14.25" hidden="false" customHeight="true" outlineLevel="0" collapsed="false">
      <c r="A27" s="23" t="s">
        <v>29</v>
      </c>
      <c r="B27" s="23"/>
      <c r="C27" s="23"/>
      <c r="D27" s="23"/>
      <c r="E27" s="22"/>
      <c r="F27" s="35" t="s">
        <v>30</v>
      </c>
      <c r="G27" s="35"/>
      <c r="H27" s="35"/>
      <c r="I27" s="35"/>
    </row>
    <row r="28" customFormat="false" ht="14.25" hidden="false" customHeight="false" outlineLevel="0" collapsed="false">
      <c r="A28" s="28" t="s">
        <v>31</v>
      </c>
      <c r="B28" s="36"/>
      <c r="C28" s="28" t="s">
        <v>32</v>
      </c>
      <c r="D28" s="36"/>
      <c r="E28" s="22"/>
      <c r="F28" s="28" t="s">
        <v>33</v>
      </c>
      <c r="G28" s="28"/>
      <c r="H28" s="37" t="n">
        <f aca="false">C41</f>
        <v>0</v>
      </c>
      <c r="I28" s="37"/>
    </row>
    <row r="29" customFormat="false" ht="14.25" hidden="false" customHeight="false" outlineLevel="0" collapsed="false">
      <c r="A29" s="28" t="s">
        <v>34</v>
      </c>
      <c r="B29" s="36"/>
      <c r="C29" s="28" t="s">
        <v>35</v>
      </c>
      <c r="D29" s="36"/>
      <c r="E29" s="22"/>
      <c r="F29" s="28" t="s">
        <v>36</v>
      </c>
      <c r="G29" s="28"/>
      <c r="H29" s="38" t="n">
        <f aca="false">+D34</f>
        <v>0</v>
      </c>
      <c r="I29" s="38"/>
    </row>
    <row r="30" customFormat="false" ht="14.25" hidden="false" customHeight="false" outlineLevel="0" collapsed="false">
      <c r="A30" s="28" t="s">
        <v>37</v>
      </c>
      <c r="B30" s="36"/>
      <c r="C30" s="28" t="s">
        <v>38</v>
      </c>
      <c r="D30" s="36"/>
      <c r="E30" s="22"/>
      <c r="F30" s="39" t="s">
        <v>39</v>
      </c>
      <c r="G30" s="39"/>
      <c r="H30" s="40" t="n">
        <f aca="false">SUM(H28:H29)</f>
        <v>0</v>
      </c>
      <c r="I30" s="40"/>
    </row>
    <row r="31" customFormat="false" ht="14.25" hidden="false" customHeight="false" outlineLevel="0" collapsed="false">
      <c r="A31" s="28" t="s">
        <v>40</v>
      </c>
      <c r="B31" s="36"/>
      <c r="C31" s="28" t="s">
        <v>41</v>
      </c>
      <c r="D31" s="36"/>
      <c r="E31" s="22"/>
      <c r="F31" s="39"/>
      <c r="G31" s="39"/>
      <c r="H31" s="40"/>
      <c r="I31" s="40"/>
    </row>
    <row r="32" customFormat="false" ht="14.25" hidden="false" customHeight="false" outlineLevel="0" collapsed="false">
      <c r="A32" s="28" t="s">
        <v>42</v>
      </c>
      <c r="B32" s="36"/>
      <c r="C32" s="28" t="s">
        <v>43</v>
      </c>
      <c r="D32" s="36"/>
      <c r="E32" s="22"/>
      <c r="F32" s="39"/>
      <c r="G32" s="39"/>
      <c r="H32" s="40"/>
      <c r="I32" s="40"/>
    </row>
    <row r="33" customFormat="false" ht="14.25" hidden="false" customHeight="false" outlineLevel="0" collapsed="false">
      <c r="A33" s="28" t="s">
        <v>44</v>
      </c>
      <c r="B33" s="36"/>
      <c r="C33" s="28" t="s">
        <v>45</v>
      </c>
      <c r="D33" s="36"/>
      <c r="E33" s="22"/>
      <c r="F33" s="39"/>
      <c r="G33" s="39"/>
      <c r="H33" s="40"/>
      <c r="I33" s="40"/>
    </row>
    <row r="34" customFormat="false" ht="15" hidden="false" customHeight="false" outlineLevel="0" collapsed="false">
      <c r="A34" s="41" t="s">
        <v>46</v>
      </c>
      <c r="B34" s="41"/>
      <c r="C34" s="41"/>
      <c r="D34" s="42" t="n">
        <f aca="false">IFERROR(AVERAGE(B28:B33,D28:D33),0)</f>
        <v>0</v>
      </c>
      <c r="E34" s="43"/>
      <c r="F34" s="43"/>
      <c r="G34" s="19"/>
      <c r="H34" s="19"/>
      <c r="I34" s="44"/>
    </row>
    <row r="35" customFormat="false" ht="14.25" hidden="false" customHeight="false" outlineLevel="0" collapsed="false">
      <c r="A35" s="23" t="s">
        <v>47</v>
      </c>
      <c r="B35" s="23"/>
      <c r="C35" s="23"/>
      <c r="D35" s="23"/>
      <c r="E35" s="23"/>
      <c r="F35" s="23"/>
      <c r="G35" s="23"/>
      <c r="H35" s="23"/>
      <c r="I35" s="23"/>
    </row>
    <row r="36" customFormat="false" ht="14.25" hidden="false" customHeight="false" outlineLevel="0" collapsed="false">
      <c r="A36" s="45" t="s">
        <v>48</v>
      </c>
      <c r="B36" s="45"/>
      <c r="C36" s="45"/>
      <c r="D36" s="46" t="s">
        <v>49</v>
      </c>
      <c r="E36" s="46"/>
      <c r="F36" s="46"/>
      <c r="G36" s="46"/>
      <c r="H36" s="46"/>
      <c r="I36" s="46"/>
    </row>
    <row r="37" customFormat="false" ht="14.25" hidden="false" customHeight="false" outlineLevel="0" collapsed="false">
      <c r="A37" s="28" t="s">
        <v>31</v>
      </c>
      <c r="B37" s="33"/>
      <c r="C37" s="33"/>
      <c r="D37" s="28" t="s">
        <v>42</v>
      </c>
      <c r="E37" s="33"/>
      <c r="F37" s="33"/>
      <c r="G37" s="47" t="s">
        <v>38</v>
      </c>
      <c r="H37" s="48"/>
      <c r="I37" s="48"/>
    </row>
    <row r="38" customFormat="false" ht="14.25" hidden="false" customHeight="false" outlineLevel="0" collapsed="false">
      <c r="A38" s="28" t="s">
        <v>34</v>
      </c>
      <c r="B38" s="33"/>
      <c r="C38" s="33"/>
      <c r="D38" s="28" t="s">
        <v>44</v>
      </c>
      <c r="E38" s="33"/>
      <c r="F38" s="33"/>
      <c r="G38" s="28" t="s">
        <v>41</v>
      </c>
      <c r="H38" s="36"/>
      <c r="I38" s="36"/>
    </row>
    <row r="39" customFormat="false" ht="14.25" hidden="false" customHeight="false" outlineLevel="0" collapsed="false">
      <c r="A39" s="28" t="s">
        <v>37</v>
      </c>
      <c r="B39" s="33"/>
      <c r="C39" s="33"/>
      <c r="D39" s="28" t="s">
        <v>32</v>
      </c>
      <c r="E39" s="33"/>
      <c r="F39" s="33"/>
      <c r="G39" s="28" t="s">
        <v>43</v>
      </c>
      <c r="H39" s="36"/>
      <c r="I39" s="36"/>
    </row>
    <row r="40" customFormat="false" ht="14.25" hidden="false" customHeight="true" outlineLevel="0" collapsed="false">
      <c r="A40" s="28" t="s">
        <v>40</v>
      </c>
      <c r="B40" s="33"/>
      <c r="C40" s="33"/>
      <c r="D40" s="28" t="s">
        <v>35</v>
      </c>
      <c r="E40" s="33"/>
      <c r="F40" s="33"/>
      <c r="G40" s="28" t="s">
        <v>45</v>
      </c>
      <c r="H40" s="36"/>
      <c r="I40" s="36"/>
    </row>
    <row r="41" customFormat="false" ht="19.7" hidden="false" customHeight="false" outlineLevel="0" collapsed="false">
      <c r="A41" s="49" t="s">
        <v>46</v>
      </c>
      <c r="B41" s="49"/>
      <c r="C41" s="50" t="n">
        <f aca="false">IFERROR(AVERAGE(B37:B40,E37:E40,H37:I40),0)</f>
        <v>0</v>
      </c>
      <c r="D41" s="50"/>
      <c r="E41" s="50"/>
      <c r="F41" s="50"/>
      <c r="G41" s="50"/>
      <c r="H41" s="50"/>
      <c r="I41" s="50"/>
    </row>
    <row r="42" customFormat="false" ht="15" hidden="false" customHeight="true" outlineLevel="0" collapsed="false">
      <c r="A42" s="51"/>
      <c r="B42" s="52"/>
      <c r="C42" s="53"/>
      <c r="D42" s="53"/>
      <c r="E42" s="53"/>
      <c r="F42" s="53"/>
      <c r="G42" s="53"/>
      <c r="H42" s="53"/>
      <c r="I42" s="54"/>
    </row>
    <row r="43" customFormat="false" ht="14.25" hidden="false" customHeight="true" outlineLevel="0" collapsed="false">
      <c r="A43" s="55" t="s">
        <v>50</v>
      </c>
      <c r="B43" s="55"/>
      <c r="C43" s="55"/>
      <c r="D43" s="55"/>
      <c r="E43" s="55"/>
      <c r="F43" s="55"/>
      <c r="G43" s="55"/>
      <c r="H43" s="55"/>
      <c r="I43" s="55"/>
    </row>
    <row r="44" customFormat="false" ht="14.25" hidden="false" customHeight="true" outlineLevel="0" collapsed="false">
      <c r="A44" s="56" t="s">
        <v>51</v>
      </c>
      <c r="B44" s="56"/>
      <c r="C44" s="56"/>
      <c r="D44" s="56"/>
      <c r="E44" s="2"/>
      <c r="F44" s="57" t="s">
        <v>52</v>
      </c>
      <c r="G44" s="57"/>
      <c r="H44" s="57"/>
      <c r="I44" s="57"/>
    </row>
    <row r="45" customFormat="false" ht="14.25" hidden="false" customHeight="true" outlineLevel="0" collapsed="false">
      <c r="A45" s="28" t="s">
        <v>25</v>
      </c>
      <c r="B45" s="28"/>
      <c r="C45" s="58" t="n">
        <f aca="false">C24</f>
        <v>0</v>
      </c>
      <c r="D45" s="58"/>
      <c r="E45" s="2"/>
      <c r="F45" s="59" t="str">
        <f aca="false">F27</f>
        <v>Importe de flujos de efectivo mensuales acreditatos </v>
      </c>
      <c r="G45" s="59"/>
      <c r="H45" s="59"/>
      <c r="I45" s="59"/>
    </row>
    <row r="46" customFormat="false" ht="14.25" hidden="false" customHeight="true" outlineLevel="0" collapsed="false">
      <c r="A46" s="60"/>
      <c r="B46" s="60"/>
      <c r="C46" s="61"/>
      <c r="D46" s="61"/>
      <c r="E46" s="2"/>
      <c r="F46" s="62" t="n">
        <f aca="false">H30</f>
        <v>0</v>
      </c>
      <c r="G46" s="62"/>
      <c r="H46" s="62"/>
      <c r="I46" s="62"/>
    </row>
    <row r="47" customFormat="false" ht="14.25" hidden="false" customHeight="true" outlineLevel="0" collapsed="false">
      <c r="A47" s="63" t="s">
        <v>53</v>
      </c>
      <c r="B47" s="63"/>
      <c r="C47" s="63"/>
      <c r="D47" s="63"/>
      <c r="E47" s="2"/>
      <c r="F47" s="59" t="s">
        <v>54</v>
      </c>
      <c r="G47" s="59"/>
      <c r="H47" s="64" t="s">
        <v>55</v>
      </c>
      <c r="I47" s="64"/>
    </row>
    <row r="48" customFormat="false" ht="14.25" hidden="false" customHeight="true" outlineLevel="0" collapsed="false">
      <c r="A48" s="65" t="n">
        <f aca="false">MIN(C45,H48)</f>
        <v>0</v>
      </c>
      <c r="B48" s="65"/>
      <c r="C48" s="65"/>
      <c r="D48" s="65"/>
      <c r="E48" s="2"/>
      <c r="F48" s="66" t="n">
        <v>0.18</v>
      </c>
      <c r="G48" s="66"/>
      <c r="H48" s="62" t="n">
        <f aca="false">F46/F48</f>
        <v>0</v>
      </c>
      <c r="I48" s="6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</row>
    <row r="50" customFormat="false" ht="14.25" hidden="false" customHeight="true" outlineLevel="0" collapsed="false">
      <c r="A50" s="21" t="s">
        <v>56</v>
      </c>
      <c r="B50" s="21"/>
      <c r="C50" s="21"/>
      <c r="D50" s="21"/>
      <c r="E50" s="21"/>
      <c r="F50" s="21"/>
      <c r="G50" s="21"/>
      <c r="H50" s="21"/>
      <c r="I50" s="21"/>
    </row>
    <row r="51" customFormat="false" ht="14.25" hidden="false" customHeight="true" outlineLevel="0" collapsed="false">
      <c r="A51" s="28" t="s">
        <v>57</v>
      </c>
      <c r="B51" s="32"/>
      <c r="C51" s="32"/>
      <c r="D51" s="28" t="s">
        <v>58</v>
      </c>
      <c r="E51" s="32"/>
      <c r="F51" s="32"/>
      <c r="G51" s="28" t="s">
        <v>59</v>
      </c>
      <c r="H51" s="32"/>
      <c r="I51" s="32"/>
    </row>
    <row r="52" customFormat="false" ht="14.25" hidden="false" customHeight="true" outlineLevel="0" collapsed="false">
      <c r="A52" s="28" t="s">
        <v>60</v>
      </c>
      <c r="B52" s="32"/>
      <c r="C52" s="32"/>
      <c r="D52" s="28" t="s">
        <v>61</v>
      </c>
      <c r="E52" s="32"/>
      <c r="F52" s="32"/>
      <c r="G52" s="28" t="s">
        <v>62</v>
      </c>
      <c r="H52" s="32"/>
      <c r="I52" s="32"/>
    </row>
    <row r="53" customFormat="false" ht="14.25" hidden="false" customHeight="true" outlineLevel="0" collapsed="false">
      <c r="A53" s="28" t="s">
        <v>63</v>
      </c>
      <c r="B53" s="32"/>
      <c r="C53" s="32"/>
      <c r="D53" s="28" t="s">
        <v>64</v>
      </c>
      <c r="E53" s="32"/>
      <c r="F53" s="32"/>
      <c r="G53" s="28" t="s">
        <v>65</v>
      </c>
      <c r="H53" s="32"/>
      <c r="I53" s="32"/>
    </row>
    <row r="54" customFormat="false" ht="14.25" hidden="false" customHeight="false" outlineLevel="0" collapsed="false">
      <c r="A54" s="28" t="s">
        <v>66</v>
      </c>
      <c r="B54" s="32"/>
      <c r="C54" s="32"/>
      <c r="D54" s="28" t="s">
        <v>67</v>
      </c>
      <c r="E54" s="32"/>
      <c r="F54" s="32"/>
      <c r="G54" s="28" t="s">
        <v>68</v>
      </c>
      <c r="H54" s="32"/>
      <c r="I54" s="32"/>
    </row>
    <row r="55" customFormat="false" ht="24" hidden="false" customHeight="true" outlineLevel="0" collapsed="false">
      <c r="A55" s="28" t="s">
        <v>69</v>
      </c>
      <c r="B55" s="32"/>
      <c r="C55" s="32"/>
      <c r="D55" s="28" t="s">
        <v>70</v>
      </c>
      <c r="E55" s="32"/>
      <c r="F55" s="32"/>
      <c r="G55" s="28" t="s">
        <v>71</v>
      </c>
      <c r="H55" s="32"/>
      <c r="I55" s="32"/>
    </row>
    <row r="56" customFormat="false" ht="14.25" hidden="false" customHeight="true" outlineLevel="0" collapsed="false">
      <c r="A56" s="28" t="s">
        <v>72</v>
      </c>
      <c r="B56" s="32"/>
      <c r="C56" s="32"/>
      <c r="D56" s="28" t="s">
        <v>73</v>
      </c>
      <c r="E56" s="32"/>
      <c r="F56" s="32"/>
      <c r="G56" s="28" t="s">
        <v>74</v>
      </c>
      <c r="H56" s="32"/>
      <c r="I56" s="32"/>
    </row>
    <row r="57" customFormat="false" ht="32.25" hidden="false" customHeight="true" outlineLevel="0" collapsed="false">
      <c r="A57" s="28" t="s">
        <v>75</v>
      </c>
      <c r="B57" s="32"/>
      <c r="C57" s="32"/>
      <c r="D57" s="28" t="s">
        <v>76</v>
      </c>
      <c r="E57" s="32"/>
      <c r="F57" s="32"/>
      <c r="G57" s="28" t="s">
        <v>77</v>
      </c>
      <c r="H57" s="32"/>
      <c r="I57" s="32"/>
    </row>
    <row r="58" customFormat="false" ht="19.5" hidden="false" customHeight="true" outlineLevel="0" collapsed="false">
      <c r="A58" s="67" t="s">
        <v>78</v>
      </c>
      <c r="B58" s="67"/>
      <c r="C58" s="50" t="n">
        <f aca="false">SUM(B51:C57,E51:F57,H51:I57)</f>
        <v>0</v>
      </c>
      <c r="D58" s="50"/>
      <c r="E58" s="50"/>
      <c r="F58" s="50"/>
      <c r="G58" s="50"/>
      <c r="H58" s="50"/>
      <c r="I58" s="50"/>
    </row>
    <row r="59" customFormat="false" ht="14.25" hidden="false" customHeight="true" outlineLevel="0" collapsed="false">
      <c r="A59" s="2"/>
      <c r="B59" s="68"/>
      <c r="C59" s="68"/>
      <c r="D59" s="2"/>
      <c r="E59" s="68"/>
      <c r="F59" s="68"/>
      <c r="G59" s="2"/>
      <c r="H59" s="68"/>
      <c r="I59" s="68"/>
    </row>
    <row r="60" customFormat="false" ht="14.25" hidden="false" customHeight="false" outlineLevel="0" collapsed="false">
      <c r="A60" s="69" t="s">
        <v>79</v>
      </c>
      <c r="B60" s="69"/>
      <c r="C60" s="69"/>
      <c r="D60" s="69"/>
      <c r="E60" s="69"/>
      <c r="F60" s="69"/>
      <c r="G60" s="69"/>
      <c r="H60" s="69"/>
      <c r="I60" s="69"/>
    </row>
    <row r="61" customFormat="false" ht="14.25" hidden="false" customHeight="false" outlineLevel="0" collapsed="false">
      <c r="A61" s="70" t="s">
        <v>80</v>
      </c>
      <c r="B61" s="70"/>
      <c r="C61" s="70"/>
      <c r="D61" s="70"/>
      <c r="E61" s="70"/>
      <c r="F61" s="70"/>
      <c r="G61" s="70"/>
      <c r="H61" s="71" t="n">
        <v>0</v>
      </c>
      <c r="I61" s="71"/>
    </row>
    <row r="62" customFormat="false" ht="19.7" hidden="false" customHeight="false" outlineLevel="0" collapsed="false">
      <c r="A62" s="72" t="s">
        <v>81</v>
      </c>
      <c r="B62" s="72"/>
      <c r="C62" s="72"/>
      <c r="D62" s="72"/>
      <c r="E62" s="72"/>
      <c r="F62" s="72"/>
      <c r="G62" s="72"/>
      <c r="H62" s="73" t="n">
        <f aca="false">A48-C58-H61</f>
        <v>0</v>
      </c>
      <c r="I62" s="73"/>
    </row>
    <row r="63" customFormat="false" ht="14.2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</row>
    <row r="64" customFormat="false" ht="14.25" hidden="false" customHeight="false" outlineLevel="0" collapsed="false">
      <c r="A64" s="74" t="s">
        <v>82</v>
      </c>
      <c r="B64" s="74"/>
      <c r="C64" s="74"/>
      <c r="D64" s="74"/>
      <c r="E64" s="74"/>
      <c r="F64" s="74"/>
      <c r="G64" s="74"/>
      <c r="H64" s="74"/>
      <c r="I64" s="74"/>
    </row>
    <row r="65" customFormat="false" ht="14.25" hidden="false" customHeight="false" outlineLevel="0" collapsed="false">
      <c r="A65" s="75" t="s">
        <v>83</v>
      </c>
      <c r="B65" s="75"/>
      <c r="C65" s="75"/>
      <c r="D65" s="75"/>
      <c r="E65" s="75"/>
      <c r="F65" s="75"/>
      <c r="G65" s="75"/>
      <c r="H65" s="76" t="e">
        <f aca="false">+F18/H62</f>
        <v>#VALUE!</v>
      </c>
      <c r="I65" s="76"/>
    </row>
    <row r="66" customFormat="false" ht="14.25" hidden="false" customHeight="false" outlineLevel="0" collapsed="false">
      <c r="A66" s="75" t="s">
        <v>84</v>
      </c>
      <c r="B66" s="75"/>
      <c r="C66" s="75"/>
      <c r="D66" s="75"/>
      <c r="E66" s="75"/>
      <c r="F66" s="75"/>
      <c r="G66" s="75"/>
      <c r="H66" s="75" t="e">
        <f aca="false">IF(H65&gt;=0.6,"No",IF(H65&lt;0,"No","Sí"))</f>
        <v>#VALUE!</v>
      </c>
      <c r="I66" s="75"/>
    </row>
    <row r="67" customFormat="false" ht="26.8" hidden="false" customHeight="false" outlineLevel="0" collapsed="false">
      <c r="A67" s="77" t="str">
        <f aca="false">IFERROR(IF(H66="No","No acreditó capacidad de pago","Acreditó capacidad de pago"),"")</f>
        <v/>
      </c>
      <c r="B67" s="77"/>
      <c r="C67" s="77"/>
      <c r="D67" s="77"/>
      <c r="E67" s="77"/>
      <c r="F67" s="77"/>
      <c r="G67" s="77"/>
      <c r="H67" s="77"/>
      <c r="I67" s="77"/>
    </row>
  </sheetData>
  <mergeCells count="107">
    <mergeCell ref="A1:I1"/>
    <mergeCell ref="G2:I2"/>
    <mergeCell ref="A3:I3"/>
    <mergeCell ref="B4:G4"/>
    <mergeCell ref="B5:C5"/>
    <mergeCell ref="F5:G5"/>
    <mergeCell ref="A6:I6"/>
    <mergeCell ref="B7:D7"/>
    <mergeCell ref="F7:G7"/>
    <mergeCell ref="B8:F8"/>
    <mergeCell ref="H8:I8"/>
    <mergeCell ref="B9:F9"/>
    <mergeCell ref="H9:I9"/>
    <mergeCell ref="C10:I10"/>
    <mergeCell ref="A12:I12"/>
    <mergeCell ref="A13:I13"/>
    <mergeCell ref="A15:I15"/>
    <mergeCell ref="A17:D17"/>
    <mergeCell ref="F17:I17"/>
    <mergeCell ref="C18:D18"/>
    <mergeCell ref="F18:I21"/>
    <mergeCell ref="A19:B19"/>
    <mergeCell ref="C19:D19"/>
    <mergeCell ref="A20:B20"/>
    <mergeCell ref="C20:D20"/>
    <mergeCell ref="A21:B21"/>
    <mergeCell ref="C21:D21"/>
    <mergeCell ref="A23:I23"/>
    <mergeCell ref="C24:I24"/>
    <mergeCell ref="A25:I25"/>
    <mergeCell ref="A26:I26"/>
    <mergeCell ref="A27:D27"/>
    <mergeCell ref="F27:I27"/>
    <mergeCell ref="F28:G28"/>
    <mergeCell ref="H28:I28"/>
    <mergeCell ref="F29:G29"/>
    <mergeCell ref="H29:I29"/>
    <mergeCell ref="F30:G33"/>
    <mergeCell ref="H30:I33"/>
    <mergeCell ref="A34:C34"/>
    <mergeCell ref="A35:I35"/>
    <mergeCell ref="A36:C36"/>
    <mergeCell ref="D36:I36"/>
    <mergeCell ref="B37:C37"/>
    <mergeCell ref="E37:F37"/>
    <mergeCell ref="H37:I37"/>
    <mergeCell ref="B38:C38"/>
    <mergeCell ref="E38:F38"/>
    <mergeCell ref="H38:I38"/>
    <mergeCell ref="B39:C39"/>
    <mergeCell ref="E39:F39"/>
    <mergeCell ref="H39:I39"/>
    <mergeCell ref="B40:C40"/>
    <mergeCell ref="E40:F40"/>
    <mergeCell ref="H40:I40"/>
    <mergeCell ref="A41:B41"/>
    <mergeCell ref="C41:I41"/>
    <mergeCell ref="A43:I43"/>
    <mergeCell ref="A44:D44"/>
    <mergeCell ref="F44:I44"/>
    <mergeCell ref="A45:B45"/>
    <mergeCell ref="C45:D45"/>
    <mergeCell ref="F45:I45"/>
    <mergeCell ref="A46:B46"/>
    <mergeCell ref="C46:D46"/>
    <mergeCell ref="F46:I46"/>
    <mergeCell ref="A47:D47"/>
    <mergeCell ref="F47:G47"/>
    <mergeCell ref="H47:I47"/>
    <mergeCell ref="A48:D48"/>
    <mergeCell ref="F48:G48"/>
    <mergeCell ref="H48:I48"/>
    <mergeCell ref="A50:I50"/>
    <mergeCell ref="B51:C51"/>
    <mergeCell ref="E51:F51"/>
    <mergeCell ref="H51:I51"/>
    <mergeCell ref="B52:C52"/>
    <mergeCell ref="E52:F52"/>
    <mergeCell ref="H52:I52"/>
    <mergeCell ref="B53:C53"/>
    <mergeCell ref="E53:F53"/>
    <mergeCell ref="H53:I53"/>
    <mergeCell ref="B54:C54"/>
    <mergeCell ref="E54:F54"/>
    <mergeCell ref="H54:I54"/>
    <mergeCell ref="B55:C55"/>
    <mergeCell ref="E55:F55"/>
    <mergeCell ref="H55:I55"/>
    <mergeCell ref="B56:C56"/>
    <mergeCell ref="E56:F56"/>
    <mergeCell ref="H56:I56"/>
    <mergeCell ref="B57:C57"/>
    <mergeCell ref="E57:F57"/>
    <mergeCell ref="H57:I57"/>
    <mergeCell ref="A58:B58"/>
    <mergeCell ref="C58:I58"/>
    <mergeCell ref="A60:I60"/>
    <mergeCell ref="A61:G61"/>
    <mergeCell ref="H61:I61"/>
    <mergeCell ref="A62:G62"/>
    <mergeCell ref="H62:I62"/>
    <mergeCell ref="A64:I64"/>
    <mergeCell ref="A65:G65"/>
    <mergeCell ref="H65:I65"/>
    <mergeCell ref="A66:G66"/>
    <mergeCell ref="H66:I66"/>
    <mergeCell ref="A67:I67"/>
  </mergeCells>
  <conditionalFormatting sqref="A67:I67">
    <cfRule type="expression" priority="2" aboveAverage="0" equalAverage="0" bottom="0" percent="0" rank="0" text="" dxfId="0">
      <formula>IF(H66="No","Rechazado",IF(#ref!="Si","Rechazado","Autorizado"))</formula>
    </cfRule>
  </conditionalFormatting>
  <dataValidations count="1">
    <dataValidation allowBlank="true" errorStyle="stop" operator="between" showDropDown="false" showErrorMessage="true" showInputMessage="true" sqref="B18" type="list">
      <formula1>Hoja3!$A$3:$A$20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5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23" activeCellId="0" sqref="D23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0" width="10.34"/>
    <col collapsed="false" customWidth="true" hidden="false" outlineLevel="0" max="2" min="2" style="0" width="24.22"/>
    <col collapsed="false" customWidth="true" hidden="false" outlineLevel="0" max="3" min="3" style="0" width="12.67"/>
    <col collapsed="false" customWidth="true" hidden="false" outlineLevel="0" max="4" min="4" style="0" width="12.89"/>
  </cols>
  <sheetData>
    <row r="1" customFormat="false" ht="14.25" hidden="false" customHeight="false" outlineLevel="0" collapsed="false">
      <c r="A1" s="0" t="s">
        <v>21</v>
      </c>
    </row>
    <row r="2" customFormat="false" ht="14.25" hidden="false" customHeight="false" outlineLevel="0" collapsed="false">
      <c r="A2" s="0" t="s">
        <v>9</v>
      </c>
      <c r="B2" s="0" t="s">
        <v>85</v>
      </c>
      <c r="C2" s="0" t="s">
        <v>86</v>
      </c>
      <c r="D2" s="0" t="s">
        <v>87</v>
      </c>
    </row>
    <row r="3" customFormat="false" ht="14.25" hidden="false" customHeight="false" outlineLevel="0" collapsed="false">
      <c r="A3" s="0" t="n">
        <v>30102</v>
      </c>
      <c r="B3" s="0" t="s">
        <v>88</v>
      </c>
      <c r="C3" s="78" t="n">
        <v>0.025</v>
      </c>
      <c r="D3" s="78" t="n">
        <v>0.05</v>
      </c>
    </row>
    <row r="4" customFormat="false" ht="14.25" hidden="false" customHeight="false" outlineLevel="0" collapsed="false">
      <c r="A4" s="0" t="n">
        <v>30302</v>
      </c>
      <c r="B4" s="0" t="s">
        <v>89</v>
      </c>
      <c r="C4" s="79" t="n">
        <v>0.0125</v>
      </c>
      <c r="D4" s="78" t="n">
        <v>0.05</v>
      </c>
    </row>
    <row r="5" customFormat="false" ht="14.25" hidden="false" customHeight="false" outlineLevel="0" collapsed="false">
      <c r="A5" s="0" t="n">
        <v>30402</v>
      </c>
      <c r="B5" s="0" t="s">
        <v>90</v>
      </c>
      <c r="C5" s="79" t="n">
        <v>0.015</v>
      </c>
      <c r="D5" s="78" t="n">
        <v>0.05</v>
      </c>
    </row>
    <row r="6" customFormat="false" ht="14.25" hidden="false" customHeight="false" outlineLevel="0" collapsed="false">
      <c r="A6" s="0" t="n">
        <v>30502</v>
      </c>
      <c r="B6" s="0" t="s">
        <v>91</v>
      </c>
      <c r="C6" s="79" t="n">
        <v>0.02</v>
      </c>
      <c r="D6" s="78" t="n">
        <v>0.05</v>
      </c>
    </row>
    <row r="7" customFormat="false" ht="14.25" hidden="false" customHeight="false" outlineLevel="0" collapsed="false">
      <c r="A7" s="0" t="n">
        <v>32602</v>
      </c>
      <c r="B7" s="0" t="s">
        <v>92</v>
      </c>
      <c r="C7" s="79" t="n">
        <v>0.025</v>
      </c>
      <c r="D7" s="78" t="n">
        <v>0.05</v>
      </c>
    </row>
    <row r="8" customFormat="false" ht="14.25" hidden="false" customHeight="false" outlineLevel="0" collapsed="false">
      <c r="A8" s="0" t="n">
        <v>33102</v>
      </c>
      <c r="B8" s="0" t="s">
        <v>93</v>
      </c>
      <c r="C8" s="79" t="n">
        <v>0.012</v>
      </c>
      <c r="D8" s="78" t="n">
        <v>0.05</v>
      </c>
    </row>
    <row r="9" customFormat="false" ht="14.25" hidden="false" customHeight="false" outlineLevel="0" collapsed="false">
      <c r="A9" s="0" t="n">
        <v>33202</v>
      </c>
      <c r="B9" s="0" t="s">
        <v>94</v>
      </c>
      <c r="C9" s="79" t="n">
        <v>0.01</v>
      </c>
      <c r="D9" s="78" t="n">
        <v>0.05</v>
      </c>
    </row>
    <row r="10" customFormat="false" ht="14.25" hidden="false" customHeight="false" outlineLevel="0" collapsed="false">
      <c r="A10" s="0" t="n">
        <v>33402</v>
      </c>
      <c r="B10" s="0" t="s">
        <v>95</v>
      </c>
      <c r="C10" s="79" t="n">
        <v>0.015</v>
      </c>
      <c r="D10" s="78" t="n">
        <v>0.05</v>
      </c>
    </row>
    <row r="11" customFormat="false" ht="14.25" hidden="false" customHeight="false" outlineLevel="0" collapsed="false">
      <c r="A11" s="0" t="n">
        <v>33302</v>
      </c>
      <c r="B11" s="0" t="s">
        <v>96</v>
      </c>
      <c r="C11" s="79" t="n">
        <v>0.02</v>
      </c>
      <c r="D11" s="78" t="n">
        <v>0.05</v>
      </c>
    </row>
    <row r="12" customFormat="false" ht="14.25" hidden="false" customHeight="false" outlineLevel="0" collapsed="false">
      <c r="A12" s="0" t="n">
        <v>33312</v>
      </c>
      <c r="B12" s="0" t="s">
        <v>97</v>
      </c>
      <c r="C12" s="79" t="n">
        <v>0.01</v>
      </c>
      <c r="D12" s="78" t="n">
        <v>0.05</v>
      </c>
    </row>
    <row r="13" customFormat="false" ht="14.25" hidden="false" customHeight="false" outlineLevel="0" collapsed="false">
      <c r="A13" s="0" t="n">
        <v>33602</v>
      </c>
      <c r="B13" s="0" t="s">
        <v>98</v>
      </c>
      <c r="C13" s="79" t="n">
        <v>0.02</v>
      </c>
      <c r="D13" s="78" t="n">
        <v>0.05</v>
      </c>
    </row>
    <row r="14" customFormat="false" ht="14.25" hidden="false" customHeight="false" outlineLevel="0" collapsed="false">
      <c r="A14" s="80" t="n">
        <v>30412</v>
      </c>
      <c r="B14" s="80" t="s">
        <v>99</v>
      </c>
      <c r="C14" s="79" t="n">
        <v>0.018</v>
      </c>
      <c r="D14" s="78" t="n">
        <v>0.05</v>
      </c>
    </row>
    <row r="15" customFormat="false" ht="14.25" hidden="false" customHeight="false" outlineLevel="0" collapsed="false">
      <c r="A15" s="80" t="n">
        <v>30303</v>
      </c>
      <c r="B15" s="80" t="s">
        <v>100</v>
      </c>
      <c r="C15" s="79" t="n">
        <v>0.0125</v>
      </c>
      <c r="D15" s="78" t="n">
        <v>0.05</v>
      </c>
    </row>
    <row r="16" customFormat="false" ht="14.25" hidden="false" customHeight="false" outlineLevel="0" collapsed="false">
      <c r="A16" s="80" t="n">
        <v>33112</v>
      </c>
      <c r="B16" s="80" t="s">
        <v>101</v>
      </c>
      <c r="C16" s="79" t="n">
        <v>0.012</v>
      </c>
      <c r="D16" s="78" t="n">
        <v>0.05</v>
      </c>
    </row>
    <row r="17" customFormat="false" ht="14.25" hidden="false" customHeight="false" outlineLevel="0" collapsed="false">
      <c r="A17" s="80" t="n">
        <v>30112</v>
      </c>
      <c r="B17" s="80" t="s">
        <v>102</v>
      </c>
      <c r="C17" s="78" t="n">
        <v>0.025</v>
      </c>
      <c r="D17" s="78" t="n">
        <v>0.05</v>
      </c>
    </row>
    <row r="18" customFormat="false" ht="14.25" hidden="false" customHeight="false" outlineLevel="0" collapsed="false">
      <c r="A18" s="80" t="n">
        <v>33212</v>
      </c>
      <c r="B18" s="80" t="s">
        <v>103</v>
      </c>
      <c r="C18" s="79" t="n">
        <v>0.01</v>
      </c>
      <c r="D18" s="78" t="n">
        <v>0.05</v>
      </c>
    </row>
    <row r="19" customFormat="false" ht="14.25" hidden="false" customHeight="false" outlineLevel="0" collapsed="false">
      <c r="A19" s="0" t="s">
        <v>104</v>
      </c>
      <c r="B19" s="80" t="s">
        <v>105</v>
      </c>
      <c r="C19" s="79" t="n">
        <v>0.015</v>
      </c>
      <c r="D19" s="78" t="n">
        <v>0.05</v>
      </c>
    </row>
    <row r="20" customFormat="false" ht="14.25" hidden="false" customHeight="false" outlineLevel="0" collapsed="false">
      <c r="A20" s="0" t="s">
        <v>106</v>
      </c>
      <c r="B20" s="80" t="s">
        <v>107</v>
      </c>
      <c r="C20" s="79" t="n">
        <v>0.015</v>
      </c>
      <c r="D20" s="78" t="n">
        <v>0.05</v>
      </c>
    </row>
    <row r="21" customFormat="false" ht="14.25" hidden="false" customHeight="false" outlineLevel="0" collapsed="false">
      <c r="A21" s="0" t="s">
        <v>108</v>
      </c>
    </row>
    <row r="22" customFormat="false" ht="14.25" hidden="false" customHeight="false" outlineLevel="0" collapsed="false">
      <c r="A22" s="0" t="s">
        <v>109</v>
      </c>
    </row>
    <row r="23" customFormat="false" ht="14.25" hidden="false" customHeight="false" outlineLevel="0" collapsed="false">
      <c r="A23" s="0" t="s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2026-01-30T18:10:45Z</dcterms:created>
  <dc:creator>Operaciones</dc:creator>
  <dc:description/>
  <dc:language>es-MX</dc:language>
  <cp:lastModifiedBy/>
  <cp:lastPrinted>2026-01-30T19:52:39Z</cp:lastPrinted>
  <dcterms:modified xsi:type="dcterms:W3CDTF">2026-04-08T11:53:13Z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